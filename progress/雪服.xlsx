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er/Developer/leetcode-grind-75/progress/"/>
    </mc:Choice>
  </mc:AlternateContent>
  <xr:revisionPtr revIDLastSave="0" documentId="13_ncr:1_{4E74FBDA-1927-974A-AA75-EC47F7A95EBB}" xr6:coauthVersionLast="47" xr6:coauthVersionMax="47" xr10:uidLastSave="{00000000-0000-0000-0000-000000000000}"/>
  <bookViews>
    <workbookView xWindow="5180" yWindow="1880" windowWidth="28040" windowHeight="17180" xr2:uid="{B2177C5D-969C-154B-B8C2-D510A703A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P12" i="1"/>
  <c r="O12" i="1"/>
  <c r="O11" i="1"/>
  <c r="P11" i="1" s="1"/>
  <c r="P7" i="1"/>
  <c r="O10" i="1"/>
  <c r="P10" i="1" s="1"/>
  <c r="R10" i="1" l="1"/>
  <c r="P14" i="1"/>
  <c r="R12" i="1"/>
  <c r="S12" i="1" s="1"/>
  <c r="T12" i="1" s="1"/>
  <c r="R11" i="1"/>
  <c r="S11" i="1" l="1"/>
  <c r="R14" i="1"/>
  <c r="S14" i="1" l="1"/>
  <c r="T11" i="1"/>
  <c r="T14" i="1" s="1"/>
</calcChain>
</file>

<file path=xl/sharedStrings.xml><?xml version="1.0" encoding="utf-8"?>
<sst xmlns="http://schemas.openxmlformats.org/spreadsheetml/2006/main" count="8" uniqueCount="7">
  <si>
    <t>tax rate</t>
  </si>
  <si>
    <t>绿色</t>
  </si>
  <si>
    <t>after sale</t>
  </si>
  <si>
    <t>after tax</t>
  </si>
  <si>
    <t>shipping</t>
  </si>
  <si>
    <t>total</t>
  </si>
  <si>
    <t>红色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</si>
</sst>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2" applyNumberFormat="1" applyFont="1"/>
    <xf numFmtId="43" fontId="0" fillId="0" borderId="0" xfId="1" applyFont="1"/>
    <xf numFmtId="43" fontId="0" fillId="0" borderId="0" xfId="0" applyNumberFormat="1"/>
    <xf numFmtId="0" fontId="0" fillId="2" borderId="0" xfId="0" applyFill="1"/>
    <xf numFmtId="43" fontId="0" fillId="2" borderId="0" xfId="1" applyFont="1" applyFill="1"/>
    <xf numFmtId="43" fontId="0" fillId="2" borderId="0" xfId="0" applyNumberFormat="1" applyFill="1"/>
    <xf numFmtId="0" fontId="0" fillId="3" borderId="0" xfId="0" applyFill="1"/>
    <xf numFmtId="43" fontId="0" fillId="3" borderId="0" xfId="1" applyFont="1" applyFill="1"/>
    <xf numFmtId="43" fontId="0" fillId="3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123603</xdr:colOff>
      <xdr:row>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D7233-6BB4-A6E3-DF2E-0AE3A1A82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04103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A342-4B5D-2D4E-A523-7D0B8FEE0EFF}">
  <dimension ref="M7:T20"/>
  <sheetViews>
    <sheetView tabSelected="1" topLeftCell="D1" workbookViewId="0">
      <selection activeCell="S20" sqref="S20"/>
    </sheetView>
  </sheetViews>
  <sheetFormatPr baseColWidth="10" defaultRowHeight="16" x14ac:dyDescent="0.2"/>
  <sheetData>
    <row r="7" spans="13:20" x14ac:dyDescent="0.2">
      <c r="O7" t="s">
        <v>0</v>
      </c>
      <c r="P7" s="1">
        <f>35.15/374.98</f>
        <v>9.3738332711077912E-2</v>
      </c>
    </row>
    <row r="9" spans="13:20" x14ac:dyDescent="0.2">
      <c r="O9" t="s">
        <v>2</v>
      </c>
      <c r="P9" t="s">
        <v>3</v>
      </c>
      <c r="Q9" t="s">
        <v>4</v>
      </c>
      <c r="R9" t="s">
        <v>5</v>
      </c>
    </row>
    <row r="10" spans="13:20" x14ac:dyDescent="0.2">
      <c r="M10" s="7" t="s">
        <v>1</v>
      </c>
      <c r="N10" s="7">
        <v>239.99</v>
      </c>
      <c r="O10" s="7">
        <f>N10*0.5</f>
        <v>119.995</v>
      </c>
      <c r="P10" s="8">
        <f>O10*(1+$P$7)</f>
        <v>131.24313123366579</v>
      </c>
      <c r="Q10" s="7">
        <v>22</v>
      </c>
      <c r="R10" s="9">
        <f>P10+Q10</f>
        <v>153.24313123366579</v>
      </c>
    </row>
    <row r="11" spans="13:20" x14ac:dyDescent="0.2">
      <c r="M11" s="7" t="s">
        <v>6</v>
      </c>
      <c r="N11" s="7">
        <v>254.99</v>
      </c>
      <c r="O11" s="7">
        <f>N11*0.5</f>
        <v>127.495</v>
      </c>
      <c r="P11" s="8">
        <f>O11*(1+$P$7)</f>
        <v>139.44616872899888</v>
      </c>
      <c r="Q11" s="7">
        <v>22</v>
      </c>
      <c r="R11" s="9">
        <f>P11+Q11</f>
        <v>161.44616872899888</v>
      </c>
      <c r="S11" s="3">
        <f>R10+R11</f>
        <v>314.68929996266468</v>
      </c>
      <c r="T11" s="3">
        <f>S11*6.96</f>
        <v>2190.2375277401461</v>
      </c>
    </row>
    <row r="12" spans="13:20" x14ac:dyDescent="0.2">
      <c r="M12" s="4" t="s">
        <v>6</v>
      </c>
      <c r="N12" s="4">
        <v>254.99</v>
      </c>
      <c r="O12" s="4">
        <f>N12*0.5</f>
        <v>127.495</v>
      </c>
      <c r="P12" s="5">
        <f>O12*(1+$P$7)</f>
        <v>139.44616872899888</v>
      </c>
      <c r="Q12" s="4">
        <v>22</v>
      </c>
      <c r="R12" s="6">
        <f>P12+Q12</f>
        <v>161.44616872899888</v>
      </c>
      <c r="S12" s="3">
        <f>R12</f>
        <v>161.44616872899888</v>
      </c>
      <c r="T12" s="3">
        <f>S12*6.96</f>
        <v>1123.6653343538321</v>
      </c>
    </row>
    <row r="14" spans="13:20" x14ac:dyDescent="0.2">
      <c r="P14" s="3">
        <f>SUM(P10:P13)</f>
        <v>410.13546869166356</v>
      </c>
      <c r="Q14" s="3">
        <f>SUM(Q10:Q13)</f>
        <v>66</v>
      </c>
      <c r="R14" s="3">
        <f>SUM(R10:R13)</f>
        <v>476.13546869166356</v>
      </c>
      <c r="S14" s="3">
        <f>SUM(S10:S13)</f>
        <v>476.13546869166356</v>
      </c>
      <c r="T14" s="3">
        <f>SUM(T10:T13)</f>
        <v>3313.902862093978</v>
      </c>
    </row>
    <row r="20" spans="14:15" x14ac:dyDescent="0.2">
      <c r="N20" s="2"/>
      <c r="O2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Shi</dc:creator>
  <cp:lastModifiedBy>Chen Shi</cp:lastModifiedBy>
  <dcterms:created xsi:type="dcterms:W3CDTF">2026-01-30T00:56:33Z</dcterms:created>
  <dcterms:modified xsi:type="dcterms:W3CDTF">2026-01-30T01:07:28Z</dcterms:modified>
</cp:coreProperties>
</file>